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WEB BHXHCN\"/>
    </mc:Choice>
  </mc:AlternateContent>
  <xr:revisionPtr revIDLastSave="0" documentId="13_ncr:1_{AA1C01B3-C980-45EC-927A-C503420D9556}" xr6:coauthVersionLast="47" xr6:coauthVersionMax="47" xr10:uidLastSave="{00000000-0000-0000-0000-000000000000}"/>
  <bookViews>
    <workbookView xWindow="-110" yWindow="-110" windowWidth="25820" windowHeight="15500" firstSheet="2" activeTab="7" xr2:uid="{00000000-000D-0000-FFFF-FFFF00000000}"/>
  </bookViews>
  <sheets>
    <sheet name="XÃ CÁI NƯỚC" sheetId="1" r:id="rId1"/>
    <sheet name="XÃ HƯNG MỸ" sheetId="2" r:id="rId2"/>
    <sheet name="XÃ TÂN HƯNG" sheetId="3" r:id="rId3"/>
    <sheet name="XÃ LƯƠNG THẾ TRÂN" sheetId="10" r:id="rId4"/>
    <sheet name="XÃ CÁI ĐÔI VÀM" sheetId="6" r:id="rId5"/>
    <sheet name="XÃ NGUYỄN VIỆT KHÁI" sheetId="11" r:id="rId6"/>
    <sheet name="XÃ PHÚ TÂN" sheetId="8" r:id="rId7"/>
    <sheet name="TỔNG HỢP" sheetId="9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3" i="8" l="1"/>
  <c r="E13" i="6"/>
  <c r="E16" i="3"/>
  <c r="D10" i="9"/>
  <c r="E10" i="9"/>
  <c r="F10" i="9"/>
  <c r="G10" i="9"/>
  <c r="H10" i="9"/>
  <c r="D13" i="8" l="1"/>
  <c r="I4" i="8"/>
  <c r="I5" i="8"/>
  <c r="I6" i="8"/>
  <c r="I7" i="8"/>
  <c r="I8" i="8"/>
  <c r="I9" i="8"/>
  <c r="I10" i="8"/>
  <c r="I11" i="8"/>
  <c r="I12" i="8"/>
  <c r="I3" i="8"/>
  <c r="C13" i="11" l="1"/>
  <c r="I12" i="11"/>
  <c r="I11" i="11"/>
  <c r="I10" i="11"/>
  <c r="I9" i="11"/>
  <c r="I8" i="11"/>
  <c r="I7" i="11"/>
  <c r="I6" i="11"/>
  <c r="I5" i="11"/>
  <c r="I13" i="11" s="1"/>
  <c r="I4" i="11"/>
  <c r="I3" i="11"/>
  <c r="C16" i="10"/>
  <c r="I15" i="10"/>
  <c r="I14" i="10"/>
  <c r="I13" i="10"/>
  <c r="I12" i="10"/>
  <c r="I11" i="10"/>
  <c r="I10" i="10"/>
  <c r="I9" i="10"/>
  <c r="I8" i="10"/>
  <c r="I7" i="10"/>
  <c r="I6" i="10"/>
  <c r="I5" i="10"/>
  <c r="I4" i="10"/>
  <c r="I3" i="10"/>
  <c r="C10" i="9"/>
  <c r="I9" i="9"/>
  <c r="I8" i="9"/>
  <c r="I7" i="9"/>
  <c r="I6" i="9"/>
  <c r="I5" i="9"/>
  <c r="I4" i="9"/>
  <c r="I3" i="9"/>
  <c r="I16" i="10" l="1"/>
  <c r="I10" i="9"/>
  <c r="I4" i="6"/>
  <c r="I5" i="6"/>
  <c r="I6" i="6"/>
  <c r="I7" i="6"/>
  <c r="I8" i="6"/>
  <c r="I9" i="6"/>
  <c r="I10" i="6"/>
  <c r="I11" i="6"/>
  <c r="I12" i="6"/>
  <c r="I3" i="6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3" i="1"/>
  <c r="I4" i="3"/>
  <c r="I16" i="3" s="1"/>
  <c r="I5" i="3"/>
  <c r="I6" i="3"/>
  <c r="I7" i="3"/>
  <c r="I8" i="3"/>
  <c r="I9" i="3"/>
  <c r="I10" i="3"/>
  <c r="I11" i="3"/>
  <c r="I12" i="3"/>
  <c r="I13" i="3"/>
  <c r="I14" i="3"/>
  <c r="I15" i="3"/>
  <c r="I3" i="3"/>
  <c r="I4" i="2"/>
  <c r="I5" i="2"/>
  <c r="I6" i="2"/>
  <c r="I7" i="2"/>
  <c r="I8" i="2"/>
  <c r="I9" i="2"/>
  <c r="I10" i="2"/>
  <c r="I11" i="2"/>
  <c r="I12" i="2"/>
  <c r="I13" i="2"/>
  <c r="I14" i="2"/>
  <c r="I15" i="2"/>
  <c r="I3" i="2"/>
  <c r="C18" i="1"/>
  <c r="I13" i="6" l="1"/>
  <c r="C13" i="8"/>
  <c r="I13" i="8" s="1"/>
  <c r="C13" i="6"/>
  <c r="C16" i="2" l="1"/>
  <c r="I16" i="2" s="1"/>
  <c r="C16" i="3" l="1"/>
  <c r="I18" i="1" l="1"/>
</calcChain>
</file>

<file path=xl/sharedStrings.xml><?xml version="1.0" encoding="utf-8"?>
<sst xmlns="http://schemas.openxmlformats.org/spreadsheetml/2006/main" count="178" uniqueCount="45">
  <si>
    <t>LOẠI ĐỐI TƯỢNG</t>
  </si>
  <si>
    <t>Mẹ VNAH, thương bệnh binh từ 81% trở lên</t>
  </si>
  <si>
    <t xml:space="preserve">Người có công cách mạng </t>
  </si>
  <si>
    <t>Thân nhân gia đình liệt sĩ</t>
  </si>
  <si>
    <t>Thân nhân người có công</t>
  </si>
  <si>
    <t>Người phục vụ người có công</t>
  </si>
  <si>
    <t xml:space="preserve">Người cao tuổi </t>
  </si>
  <si>
    <t>Bảo trợ xã hội</t>
  </si>
  <si>
    <t>Cựu chiến binh</t>
  </si>
  <si>
    <t>Quyết định 290/2005/QĐ-TTg</t>
  </si>
  <si>
    <t>Quyết định 62/2011/QĐ-TTg</t>
  </si>
  <si>
    <t>Quyết định 40/2011/QĐ-TTg</t>
  </si>
  <si>
    <t>Quyết định 49/2015/QĐ-TTg</t>
  </si>
  <si>
    <t>Người hưởng trợ cấp hưu trí xã hội</t>
  </si>
  <si>
    <t>Tổng</t>
  </si>
  <si>
    <t>STT</t>
  </si>
  <si>
    <t>Quyết định 142/2008/QĐ-TTg</t>
  </si>
  <si>
    <t>XÃ CÁI NƯỚC</t>
  </si>
  <si>
    <t xml:space="preserve">XÃ HƯNG MỸ </t>
  </si>
  <si>
    <t>XÃ TÂN HƯNG</t>
  </si>
  <si>
    <t>XÃ CÁI ĐÔI VÀM</t>
  </si>
  <si>
    <t>XÃ PHÚ TÂN</t>
  </si>
  <si>
    <t>Thân nhân liệt sĩ tái giá</t>
  </si>
  <si>
    <t>Người trực tiếp tham gia kháng chiến</t>
  </si>
  <si>
    <t>Số tiền tháng 7</t>
  </si>
  <si>
    <t>Số tiền tháng 8</t>
  </si>
  <si>
    <t>Tháng 7/2026</t>
  </si>
  <si>
    <t>Tháng 8/2026</t>
  </si>
  <si>
    <t>Tháng 9/2026</t>
  </si>
  <si>
    <t>Tháng 10/2026</t>
  </si>
  <si>
    <t>Tháng 11/2026</t>
  </si>
  <si>
    <t>Tháng 12/2026</t>
  </si>
  <si>
    <t xml:space="preserve"> Cái Nước</t>
  </si>
  <si>
    <t xml:space="preserve"> Hưng Mỹ</t>
  </si>
  <si>
    <t xml:space="preserve"> Tân Hưng</t>
  </si>
  <si>
    <t xml:space="preserve"> Lương Thế Trân</t>
  </si>
  <si>
    <t>Cái Đôi Vàm</t>
  </si>
  <si>
    <t>Phú Tân</t>
  </si>
  <si>
    <t>Nguyễn Việt Khái</t>
  </si>
  <si>
    <t>Số tiền tháng 9</t>
  </si>
  <si>
    <t>Số tiền tháng 10</t>
  </si>
  <si>
    <t>Số tiền tháng 11</t>
  </si>
  <si>
    <t>Số tiền tháng 12</t>
  </si>
  <si>
    <t>DANH SÁCH NỢ NGÂN SÁCH NHÀ NƯỚC</t>
  </si>
  <si>
    <t>Xã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</si>
</sst>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\ _₫_-;\-* #,##0.00\ _₫_-;_-* &quot;-&quot;??\ _₫_-;_-@_-"/>
    <numFmt numFmtId="165" formatCode="_(* #,##0_);_(* \(#,##0\);_(* &quot;-&quot;??_);_(@_)"/>
    <numFmt numFmtId="166" formatCode="_-* #,##0\ _₫_-;\-* #,##0\ _₫_-;_-* &quot;-&quot;??\ _₫_-;_-@_-"/>
  </numFmts>
  <fonts count="14" x14ac:knownFonts="1">
    <font>
      <sz val="11"/>
      <color theme="1"/>
      <name val="Calibri"/>
      <family val="2"/>
      <charset val="163"/>
      <scheme val="minor"/>
    </font>
    <font>
      <sz val="11"/>
      <color theme="1"/>
      <name val="Calibri"/>
      <family val="2"/>
      <charset val="163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2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4"/>
      <color theme="1"/>
      <name val="Times New Roman"/>
      <family val="1"/>
    </font>
    <font>
      <sz val="11"/>
      <color indexed="8"/>
      <name val="Times New Roman"/>
      <family val="1"/>
    </font>
    <font>
      <sz val="12"/>
      <color rgb="FF333333"/>
      <name val="Times New Roman"/>
      <family val="1"/>
    </font>
    <font>
      <sz val="8"/>
      <color rgb="FF333333"/>
      <name val="Arial"/>
      <family val="2"/>
    </font>
    <font>
      <b/>
      <sz val="10"/>
      <color theme="1"/>
      <name val="Times New Roman"/>
      <family val="1"/>
    </font>
    <font>
      <sz val="10"/>
      <name val="Arial"/>
      <family val="2"/>
    </font>
    <font>
      <b/>
      <sz val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DFF0D8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2" fillId="0" borderId="0"/>
  </cellStyleXfs>
  <cellXfs count="36">
    <xf numFmtId="0" fontId="0" fillId="0" borderId="0" xfId="0"/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vertical="center"/>
    </xf>
    <xf numFmtId="0" fontId="4" fillId="0" borderId="1" xfId="0" applyFont="1" applyBorder="1" applyAlignment="1">
      <alignment vertical="center"/>
    </xf>
    <xf numFmtId="165" fontId="4" fillId="0" borderId="1" xfId="1" applyNumberFormat="1" applyFont="1" applyBorder="1" applyAlignment="1">
      <alignment horizontal="right" vertical="center"/>
    </xf>
    <xf numFmtId="165" fontId="5" fillId="0" borderId="1" xfId="1" applyNumberFormat="1" applyFont="1" applyBorder="1" applyAlignment="1">
      <alignment horizontal="right" vertical="center"/>
    </xf>
    <xf numFmtId="166" fontId="4" fillId="0" borderId="1" xfId="1" applyNumberFormat="1" applyFont="1" applyBorder="1" applyAlignment="1">
      <alignment horizontal="right" vertical="center"/>
    </xf>
    <xf numFmtId="166" fontId="5" fillId="0" borderId="1" xfId="1" applyNumberFormat="1" applyFont="1" applyBorder="1" applyAlignment="1">
      <alignment horizontal="right" vertical="center"/>
    </xf>
    <xf numFmtId="0" fontId="3" fillId="0" borderId="1" xfId="0" applyFont="1" applyBorder="1"/>
    <xf numFmtId="166" fontId="3" fillId="0" borderId="1" xfId="1" applyNumberFormat="1" applyFont="1" applyBorder="1"/>
    <xf numFmtId="166" fontId="3" fillId="0" borderId="1" xfId="0" applyNumberFormat="1" applyFont="1" applyBorder="1"/>
    <xf numFmtId="0" fontId="2" fillId="0" borderId="1" xfId="0" applyFont="1" applyBorder="1" applyAlignment="1">
      <alignment horizontal="center" vertical="center"/>
    </xf>
    <xf numFmtId="166" fontId="2" fillId="0" borderId="1" xfId="1" applyNumberFormat="1" applyFont="1" applyBorder="1"/>
    <xf numFmtId="166" fontId="2" fillId="0" borderId="1" xfId="0" applyNumberFormat="1" applyFont="1" applyBorder="1"/>
    <xf numFmtId="166" fontId="0" fillId="0" borderId="0" xfId="1" applyNumberFormat="1" applyFont="1"/>
    <xf numFmtId="0" fontId="8" fillId="0" borderId="3" xfId="0" applyFont="1" applyBorder="1" applyAlignment="1">
      <alignment vertical="center" wrapText="1"/>
    </xf>
    <xf numFmtId="166" fontId="0" fillId="0" borderId="0" xfId="0" applyNumberFormat="1"/>
    <xf numFmtId="0" fontId="9" fillId="0" borderId="0" xfId="0" applyFont="1" applyAlignment="1">
      <alignment vertical="center"/>
    </xf>
    <xf numFmtId="165" fontId="5" fillId="0" borderId="1" xfId="1" applyNumberFormat="1" applyFont="1" applyBorder="1" applyAlignment="1">
      <alignment horizontal="right"/>
    </xf>
    <xf numFmtId="0" fontId="10" fillId="0" borderId="0" xfId="0" applyFont="1"/>
    <xf numFmtId="0" fontId="10" fillId="2" borderId="5" xfId="0" applyFont="1" applyFill="1" applyBorder="1" applyAlignment="1">
      <alignment horizontal="center" vertical="top"/>
    </xf>
    <xf numFmtId="0" fontId="11" fillId="0" borderId="1" xfId="0" applyFont="1" applyBorder="1" applyAlignment="1">
      <alignment horizontal="center" vertical="center" wrapText="1"/>
    </xf>
    <xf numFmtId="0" fontId="13" fillId="0" borderId="1" xfId="2" applyFont="1" applyBorder="1" applyAlignment="1">
      <alignment horizontal="center" vertical="center"/>
    </xf>
    <xf numFmtId="0" fontId="13" fillId="0" borderId="1" xfId="2" applyFont="1" applyBorder="1" applyAlignment="1">
      <alignment vertical="center" wrapText="1"/>
    </xf>
    <xf numFmtId="165" fontId="13" fillId="0" borderId="1" xfId="1" applyNumberFormat="1" applyFont="1" applyFill="1" applyBorder="1" applyAlignment="1">
      <alignment vertical="center" wrapText="1"/>
    </xf>
    <xf numFmtId="165" fontId="2" fillId="0" borderId="1" xfId="0" applyNumberFormat="1" applyFont="1" applyBorder="1" applyAlignment="1">
      <alignment vertical="center"/>
    </xf>
    <xf numFmtId="0" fontId="2" fillId="0" borderId="1" xfId="0" applyFont="1" applyBorder="1" applyAlignment="1">
      <alignment vertical="center"/>
    </xf>
    <xf numFmtId="165" fontId="3" fillId="0" borderId="1" xfId="1" applyNumberFormat="1" applyFont="1" applyBorder="1" applyAlignment="1">
      <alignment vertical="center"/>
    </xf>
    <xf numFmtId="165" fontId="2" fillId="0" borderId="4" xfId="1" applyNumberFormat="1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2" xfId="0" applyFont="1" applyBorder="1" applyAlignment="1">
      <alignment horizontal="center"/>
    </xf>
    <xf numFmtId="0" fontId="2" fillId="0" borderId="6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</cellXfs>
  <cellStyles count="3">
    <cellStyle name="Comma" xfId="1" builtinId="3"/>
    <cellStyle name="Normal" xfId="0" builtinId="0"/>
    <cellStyle name="Normal 2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8"/>
  <sheetViews>
    <sheetView workbookViewId="0">
      <selection activeCell="C2" sqref="C2:H2"/>
    </sheetView>
  </sheetViews>
  <sheetFormatPr defaultRowHeight="14.5" x14ac:dyDescent="0.35"/>
  <cols>
    <col min="2" max="2" width="33.1796875" customWidth="1"/>
    <col min="3" max="8" width="16.1796875" customWidth="1"/>
    <col min="9" max="9" width="17.54296875" customWidth="1"/>
  </cols>
  <sheetData>
    <row r="1" spans="1:9" ht="25.25" customHeight="1" x14ac:dyDescent="0.35">
      <c r="A1" s="33" t="s">
        <v>17</v>
      </c>
      <c r="B1" s="33"/>
      <c r="C1" s="33"/>
      <c r="D1" s="33"/>
      <c r="E1" s="33"/>
      <c r="F1" s="33"/>
      <c r="G1" s="33"/>
      <c r="H1" s="33"/>
      <c r="I1" s="33"/>
    </row>
    <row r="2" spans="1:9" ht="24.65" customHeight="1" x14ac:dyDescent="0.35">
      <c r="A2" s="13" t="s">
        <v>15</v>
      </c>
      <c r="B2" s="3" t="s">
        <v>0</v>
      </c>
      <c r="C2" s="13" t="s">
        <v>24</v>
      </c>
      <c r="D2" s="13" t="s">
        <v>25</v>
      </c>
      <c r="E2" s="13" t="s">
        <v>39</v>
      </c>
      <c r="F2" s="13" t="s">
        <v>40</v>
      </c>
      <c r="G2" s="13" t="s">
        <v>41</v>
      </c>
      <c r="H2" s="13" t="s">
        <v>42</v>
      </c>
      <c r="I2" s="13" t="s">
        <v>14</v>
      </c>
    </row>
    <row r="3" spans="1:9" ht="28" x14ac:dyDescent="0.35">
      <c r="A3" s="10">
        <v>1</v>
      </c>
      <c r="B3" s="1" t="s">
        <v>1</v>
      </c>
      <c r="C3" s="11"/>
      <c r="D3" s="11"/>
      <c r="E3" s="11"/>
      <c r="F3" s="11"/>
      <c r="G3" s="11"/>
      <c r="H3" s="11"/>
      <c r="I3" s="7">
        <f>C3</f>
        <v>0</v>
      </c>
    </row>
    <row r="4" spans="1:9" ht="15.5" x14ac:dyDescent="0.35">
      <c r="A4" s="10">
        <v>2</v>
      </c>
      <c r="B4" s="2" t="s">
        <v>2</v>
      </c>
      <c r="C4" s="11"/>
      <c r="D4" s="11"/>
      <c r="E4" s="11"/>
      <c r="F4" s="11"/>
      <c r="G4" s="11"/>
      <c r="H4" s="11"/>
      <c r="I4" s="7">
        <f t="shared" ref="I4:I17" si="0">C4</f>
        <v>0</v>
      </c>
    </row>
    <row r="5" spans="1:9" ht="15.5" x14ac:dyDescent="0.35">
      <c r="A5" s="10">
        <v>3</v>
      </c>
      <c r="B5" s="2" t="s">
        <v>3</v>
      </c>
      <c r="C5" s="11"/>
      <c r="D5" s="11"/>
      <c r="E5" s="11"/>
      <c r="F5" s="11"/>
      <c r="G5" s="11"/>
      <c r="H5" s="11"/>
      <c r="I5" s="7">
        <f t="shared" si="0"/>
        <v>0</v>
      </c>
    </row>
    <row r="6" spans="1:9" ht="15.5" x14ac:dyDescent="0.35">
      <c r="A6" s="10">
        <v>4</v>
      </c>
      <c r="B6" s="19" t="s">
        <v>22</v>
      </c>
      <c r="C6" s="11"/>
      <c r="D6" s="11"/>
      <c r="E6" s="11"/>
      <c r="F6" s="11"/>
      <c r="G6" s="11"/>
      <c r="H6" s="11"/>
      <c r="I6" s="7">
        <f t="shared" si="0"/>
        <v>0</v>
      </c>
    </row>
    <row r="7" spans="1:9" ht="15.5" x14ac:dyDescent="0.35">
      <c r="A7" s="10">
        <v>5</v>
      </c>
      <c r="B7" s="2" t="s">
        <v>4</v>
      </c>
      <c r="C7" s="11"/>
      <c r="D7" s="11"/>
      <c r="E7" s="11"/>
      <c r="F7" s="11"/>
      <c r="G7" s="11"/>
      <c r="H7" s="11"/>
      <c r="I7" s="7">
        <f t="shared" si="0"/>
        <v>0</v>
      </c>
    </row>
    <row r="8" spans="1:9" ht="15.5" x14ac:dyDescent="0.35">
      <c r="A8" s="10">
        <v>6</v>
      </c>
      <c r="B8" s="2" t="s">
        <v>5</v>
      </c>
      <c r="C8" s="8"/>
      <c r="D8" s="8"/>
      <c r="E8" s="8"/>
      <c r="F8" s="8"/>
      <c r="G8" s="8"/>
      <c r="H8" s="8"/>
      <c r="I8" s="7">
        <f t="shared" si="0"/>
        <v>0</v>
      </c>
    </row>
    <row r="9" spans="1:9" ht="15.5" x14ac:dyDescent="0.35">
      <c r="A9" s="10">
        <v>7</v>
      </c>
      <c r="B9" s="5" t="s">
        <v>6</v>
      </c>
      <c r="C9" s="8"/>
      <c r="D9" s="8"/>
      <c r="E9" s="8"/>
      <c r="F9" s="8"/>
      <c r="G9" s="8"/>
      <c r="H9" s="8"/>
      <c r="I9" s="7">
        <f t="shared" si="0"/>
        <v>0</v>
      </c>
    </row>
    <row r="10" spans="1:9" ht="15.5" x14ac:dyDescent="0.35">
      <c r="A10" s="10">
        <v>8</v>
      </c>
      <c r="B10" s="5" t="s">
        <v>7</v>
      </c>
      <c r="C10" s="8"/>
      <c r="D10" s="8"/>
      <c r="E10" s="8"/>
      <c r="F10" s="8"/>
      <c r="G10" s="8"/>
      <c r="H10" s="8"/>
      <c r="I10" s="7">
        <f t="shared" si="0"/>
        <v>0</v>
      </c>
    </row>
    <row r="11" spans="1:9" ht="15.5" x14ac:dyDescent="0.35">
      <c r="A11" s="10">
        <v>9</v>
      </c>
      <c r="B11" s="4" t="s">
        <v>8</v>
      </c>
      <c r="C11" s="9"/>
      <c r="D11" s="9"/>
      <c r="E11" s="9"/>
      <c r="F11" s="9"/>
      <c r="G11" s="9"/>
      <c r="H11" s="9"/>
      <c r="I11" s="7">
        <f t="shared" si="0"/>
        <v>0</v>
      </c>
    </row>
    <row r="12" spans="1:9" ht="15.5" x14ac:dyDescent="0.35">
      <c r="A12" s="10">
        <v>10</v>
      </c>
      <c r="B12" s="5" t="s">
        <v>9</v>
      </c>
      <c r="C12" s="9"/>
      <c r="D12" s="9"/>
      <c r="E12" s="9"/>
      <c r="F12" s="9"/>
      <c r="G12" s="9"/>
      <c r="H12" s="9"/>
      <c r="I12" s="7">
        <f t="shared" si="0"/>
        <v>0</v>
      </c>
    </row>
    <row r="13" spans="1:9" ht="15.5" x14ac:dyDescent="0.35">
      <c r="A13" s="10">
        <v>11</v>
      </c>
      <c r="B13" s="5" t="s">
        <v>10</v>
      </c>
      <c r="C13" s="9"/>
      <c r="D13" s="9"/>
      <c r="E13" s="9"/>
      <c r="F13" s="9"/>
      <c r="G13" s="9"/>
      <c r="H13" s="9"/>
      <c r="I13" s="7">
        <f t="shared" si="0"/>
        <v>0</v>
      </c>
    </row>
    <row r="14" spans="1:9" ht="15.5" x14ac:dyDescent="0.35">
      <c r="A14" s="10">
        <v>12</v>
      </c>
      <c r="B14" s="5" t="s">
        <v>11</v>
      </c>
      <c r="C14" s="9"/>
      <c r="D14" s="9"/>
      <c r="E14" s="9"/>
      <c r="F14" s="9"/>
      <c r="G14" s="9"/>
      <c r="H14" s="9"/>
      <c r="I14" s="7">
        <f t="shared" si="0"/>
        <v>0</v>
      </c>
    </row>
    <row r="15" spans="1:9" ht="15.5" x14ac:dyDescent="0.35">
      <c r="A15" s="10">
        <v>13</v>
      </c>
      <c r="B15" s="5" t="s">
        <v>12</v>
      </c>
      <c r="C15" s="9"/>
      <c r="D15" s="9"/>
      <c r="E15" s="9"/>
      <c r="F15" s="9"/>
      <c r="G15" s="9"/>
      <c r="H15" s="9"/>
      <c r="I15" s="7">
        <f t="shared" si="0"/>
        <v>0</v>
      </c>
    </row>
    <row r="16" spans="1:9" ht="15.5" x14ac:dyDescent="0.35">
      <c r="A16" s="10">
        <v>14</v>
      </c>
      <c r="B16" s="4" t="s">
        <v>16</v>
      </c>
      <c r="C16" s="9"/>
      <c r="D16" s="9"/>
      <c r="E16" s="9"/>
      <c r="F16" s="9"/>
      <c r="G16" s="9"/>
      <c r="H16" s="9"/>
      <c r="I16" s="7">
        <f t="shared" si="0"/>
        <v>0</v>
      </c>
    </row>
    <row r="17" spans="1:9" ht="15.5" x14ac:dyDescent="0.35">
      <c r="A17" s="10">
        <v>15</v>
      </c>
      <c r="B17" s="5" t="s">
        <v>13</v>
      </c>
      <c r="C17" s="9"/>
      <c r="D17" s="9"/>
      <c r="E17" s="9"/>
      <c r="F17" s="9"/>
      <c r="G17" s="9"/>
      <c r="H17" s="9"/>
      <c r="I17" s="7">
        <f t="shared" si="0"/>
        <v>0</v>
      </c>
    </row>
    <row r="18" spans="1:9" ht="15" x14ac:dyDescent="0.35">
      <c r="A18" s="32" t="s">
        <v>14</v>
      </c>
      <c r="B18" s="32"/>
      <c r="C18" s="14">
        <f>SUM(C3:C17)</f>
        <v>0</v>
      </c>
      <c r="D18" s="14"/>
      <c r="E18" s="14"/>
      <c r="F18" s="14"/>
      <c r="G18" s="14"/>
      <c r="H18" s="14"/>
      <c r="I18" s="14">
        <f>SUM(I3:I17)</f>
        <v>0</v>
      </c>
    </row>
  </sheetData>
  <mergeCells count="2">
    <mergeCell ref="A18:B18"/>
    <mergeCell ref="A1:I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6"/>
  <sheetViews>
    <sheetView workbookViewId="0">
      <selection activeCell="C3" sqref="C3:C8"/>
    </sheetView>
  </sheetViews>
  <sheetFormatPr defaultRowHeight="14.5" x14ac:dyDescent="0.35"/>
  <cols>
    <col min="2" max="2" width="33.1796875" customWidth="1"/>
    <col min="3" max="8" width="16.1796875" customWidth="1"/>
    <col min="9" max="9" width="16.36328125" customWidth="1"/>
  </cols>
  <sheetData>
    <row r="1" spans="1:9" ht="29.4" customHeight="1" x14ac:dyDescent="0.35">
      <c r="A1" s="31" t="s">
        <v>18</v>
      </c>
      <c r="B1" s="31"/>
      <c r="C1" s="31"/>
      <c r="D1" s="31"/>
      <c r="E1" s="31"/>
      <c r="F1" s="31"/>
      <c r="G1" s="31"/>
      <c r="H1" s="31"/>
      <c r="I1" s="31"/>
    </row>
    <row r="2" spans="1:9" ht="24.65" customHeight="1" x14ac:dyDescent="0.35">
      <c r="A2" s="13" t="s">
        <v>15</v>
      </c>
      <c r="B2" s="3" t="s">
        <v>0</v>
      </c>
      <c r="C2" s="13" t="s">
        <v>24</v>
      </c>
      <c r="D2" s="13" t="s">
        <v>25</v>
      </c>
      <c r="E2" s="13" t="s">
        <v>39</v>
      </c>
      <c r="F2" s="13" t="s">
        <v>40</v>
      </c>
      <c r="G2" s="13" t="s">
        <v>41</v>
      </c>
      <c r="H2" s="13" t="s">
        <v>42</v>
      </c>
      <c r="I2" s="13" t="s">
        <v>14</v>
      </c>
    </row>
    <row r="3" spans="1:9" ht="28" x14ac:dyDescent="0.35">
      <c r="A3" s="10">
        <v>1</v>
      </c>
      <c r="B3" s="1" t="s">
        <v>1</v>
      </c>
      <c r="C3" s="20"/>
      <c r="D3" s="20"/>
      <c r="E3" s="20"/>
      <c r="F3" s="20"/>
      <c r="G3" s="20"/>
      <c r="H3" s="20"/>
      <c r="I3" s="12">
        <f>C3</f>
        <v>0</v>
      </c>
    </row>
    <row r="4" spans="1:9" ht="15.5" x14ac:dyDescent="0.35">
      <c r="A4" s="10">
        <v>2</v>
      </c>
      <c r="B4" s="2" t="s">
        <v>2</v>
      </c>
      <c r="C4" s="20"/>
      <c r="D4" s="20"/>
      <c r="E4" s="20"/>
      <c r="F4" s="20"/>
      <c r="G4" s="20"/>
      <c r="H4" s="20"/>
      <c r="I4" s="12">
        <f t="shared" ref="I4:I16" si="0">C4</f>
        <v>0</v>
      </c>
    </row>
    <row r="5" spans="1:9" ht="15.5" x14ac:dyDescent="0.35">
      <c r="A5" s="10">
        <v>3</v>
      </c>
      <c r="B5" s="2" t="s">
        <v>3</v>
      </c>
      <c r="C5" s="20"/>
      <c r="D5" s="20"/>
      <c r="E5" s="20"/>
      <c r="F5" s="20"/>
      <c r="G5" s="20"/>
      <c r="H5" s="20"/>
      <c r="I5" s="12">
        <f t="shared" si="0"/>
        <v>0</v>
      </c>
    </row>
    <row r="6" spans="1:9" ht="15.5" x14ac:dyDescent="0.35">
      <c r="A6" s="10">
        <v>4</v>
      </c>
      <c r="B6" s="2" t="s">
        <v>4</v>
      </c>
      <c r="C6" s="20"/>
      <c r="D6" s="20"/>
      <c r="E6" s="20"/>
      <c r="F6" s="20"/>
      <c r="G6" s="20"/>
      <c r="H6" s="20"/>
      <c r="I6" s="12">
        <f t="shared" si="0"/>
        <v>0</v>
      </c>
    </row>
    <row r="7" spans="1:9" ht="15.5" x14ac:dyDescent="0.35">
      <c r="A7" s="10">
        <v>5</v>
      </c>
      <c r="B7" s="2" t="s">
        <v>5</v>
      </c>
      <c r="C7" s="20"/>
      <c r="D7" s="20"/>
      <c r="E7" s="20"/>
      <c r="F7" s="20"/>
      <c r="G7" s="20"/>
      <c r="H7" s="20"/>
      <c r="I7" s="12">
        <f t="shared" si="0"/>
        <v>0</v>
      </c>
    </row>
    <row r="8" spans="1:9" ht="15.5" x14ac:dyDescent="0.35">
      <c r="A8" s="10">
        <v>6</v>
      </c>
      <c r="B8" s="5" t="s">
        <v>6</v>
      </c>
      <c r="C8" s="6"/>
      <c r="D8" s="6"/>
      <c r="E8" s="6"/>
      <c r="F8" s="6"/>
      <c r="G8" s="6"/>
      <c r="H8" s="6"/>
      <c r="I8" s="12">
        <f t="shared" si="0"/>
        <v>0</v>
      </c>
    </row>
    <row r="9" spans="1:9" ht="15.5" x14ac:dyDescent="0.35">
      <c r="A9" s="10">
        <v>7</v>
      </c>
      <c r="B9" s="5" t="s">
        <v>7</v>
      </c>
      <c r="C9" s="6"/>
      <c r="D9" s="6"/>
      <c r="E9" s="6"/>
      <c r="F9" s="6"/>
      <c r="G9" s="6"/>
      <c r="H9" s="6"/>
      <c r="I9" s="12">
        <f t="shared" si="0"/>
        <v>0</v>
      </c>
    </row>
    <row r="10" spans="1:9" ht="15.5" x14ac:dyDescent="0.35">
      <c r="A10" s="10">
        <v>8</v>
      </c>
      <c r="B10" s="5" t="s">
        <v>8</v>
      </c>
      <c r="C10" s="7"/>
      <c r="D10" s="7"/>
      <c r="E10" s="7"/>
      <c r="F10" s="7"/>
      <c r="G10" s="7"/>
      <c r="H10" s="7"/>
      <c r="I10" s="12">
        <f t="shared" si="0"/>
        <v>0</v>
      </c>
    </row>
    <row r="11" spans="1:9" ht="15.5" x14ac:dyDescent="0.35">
      <c r="A11" s="10">
        <v>9</v>
      </c>
      <c r="B11" s="5" t="s">
        <v>9</v>
      </c>
      <c r="C11" s="7"/>
      <c r="D11" s="7"/>
      <c r="E11" s="7"/>
      <c r="F11" s="7"/>
      <c r="G11" s="7"/>
      <c r="H11" s="7"/>
      <c r="I11" s="12">
        <f t="shared" si="0"/>
        <v>0</v>
      </c>
    </row>
    <row r="12" spans="1:9" ht="15.5" x14ac:dyDescent="0.35">
      <c r="A12" s="10">
        <v>10</v>
      </c>
      <c r="B12" s="5" t="s">
        <v>10</v>
      </c>
      <c r="C12" s="7"/>
      <c r="D12" s="7"/>
      <c r="E12" s="7"/>
      <c r="F12" s="7"/>
      <c r="G12" s="7"/>
      <c r="H12" s="7"/>
      <c r="I12" s="12">
        <f t="shared" si="0"/>
        <v>0</v>
      </c>
    </row>
    <row r="13" spans="1:9" ht="15.5" x14ac:dyDescent="0.35">
      <c r="A13" s="10">
        <v>11</v>
      </c>
      <c r="B13" s="5" t="s">
        <v>11</v>
      </c>
      <c r="C13" s="7"/>
      <c r="D13" s="7"/>
      <c r="E13" s="7"/>
      <c r="F13" s="7"/>
      <c r="G13" s="7"/>
      <c r="H13" s="7"/>
      <c r="I13" s="12">
        <f t="shared" si="0"/>
        <v>0</v>
      </c>
    </row>
    <row r="14" spans="1:9" ht="15.5" x14ac:dyDescent="0.35">
      <c r="A14" s="10">
        <v>12</v>
      </c>
      <c r="B14" s="5" t="s">
        <v>12</v>
      </c>
      <c r="C14" s="7"/>
      <c r="D14" s="7"/>
      <c r="E14" s="7"/>
      <c r="F14" s="7"/>
      <c r="G14" s="7"/>
      <c r="H14" s="7"/>
      <c r="I14" s="12">
        <f t="shared" si="0"/>
        <v>0</v>
      </c>
    </row>
    <row r="15" spans="1:9" ht="15.5" x14ac:dyDescent="0.35">
      <c r="A15" s="10">
        <v>13</v>
      </c>
      <c r="B15" s="5" t="s">
        <v>13</v>
      </c>
      <c r="C15" s="7"/>
      <c r="D15" s="7"/>
      <c r="E15" s="7"/>
      <c r="F15" s="7"/>
      <c r="G15" s="7"/>
      <c r="H15" s="7"/>
      <c r="I15" s="12">
        <f t="shared" si="0"/>
        <v>0</v>
      </c>
    </row>
    <row r="16" spans="1:9" ht="15" x14ac:dyDescent="0.35">
      <c r="A16" s="32" t="s">
        <v>14</v>
      </c>
      <c r="B16" s="32"/>
      <c r="C16" s="14">
        <f>SUM(C3:C15)</f>
        <v>0</v>
      </c>
      <c r="D16" s="14"/>
      <c r="E16" s="14"/>
      <c r="F16" s="14"/>
      <c r="G16" s="14"/>
      <c r="H16" s="14"/>
      <c r="I16" s="15">
        <f t="shared" si="0"/>
        <v>0</v>
      </c>
    </row>
  </sheetData>
  <mergeCells count="2">
    <mergeCell ref="A16:B16"/>
    <mergeCell ref="A1:I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6"/>
  <sheetViews>
    <sheetView workbookViewId="0">
      <selection activeCell="E16" sqref="E16"/>
    </sheetView>
  </sheetViews>
  <sheetFormatPr defaultRowHeight="14.5" x14ac:dyDescent="0.35"/>
  <cols>
    <col min="2" max="2" width="33.1796875" customWidth="1"/>
    <col min="3" max="8" width="16.1796875" customWidth="1"/>
    <col min="9" max="9" width="14.54296875" customWidth="1"/>
  </cols>
  <sheetData>
    <row r="1" spans="1:9" ht="28.25" customHeight="1" x14ac:dyDescent="0.35">
      <c r="A1" s="31" t="s">
        <v>19</v>
      </c>
      <c r="B1" s="31"/>
      <c r="C1" s="31"/>
      <c r="D1" s="31"/>
      <c r="E1" s="31"/>
      <c r="F1" s="31"/>
      <c r="G1" s="31"/>
      <c r="H1" s="31"/>
      <c r="I1" s="31"/>
    </row>
    <row r="2" spans="1:9" ht="24.65" customHeight="1" x14ac:dyDescent="0.35">
      <c r="A2" s="13" t="s">
        <v>15</v>
      </c>
      <c r="B2" s="3" t="s">
        <v>0</v>
      </c>
      <c r="C2" s="13" t="s">
        <v>24</v>
      </c>
      <c r="D2" s="13" t="s">
        <v>25</v>
      </c>
      <c r="E2" s="13" t="s">
        <v>39</v>
      </c>
      <c r="F2" s="13" t="s">
        <v>40</v>
      </c>
      <c r="G2" s="13" t="s">
        <v>41</v>
      </c>
      <c r="H2" s="13" t="s">
        <v>42</v>
      </c>
      <c r="I2" s="13" t="s">
        <v>14</v>
      </c>
    </row>
    <row r="3" spans="1:9" ht="28" x14ac:dyDescent="0.35">
      <c r="A3" s="10">
        <v>1</v>
      </c>
      <c r="B3" s="1" t="s">
        <v>1</v>
      </c>
      <c r="C3" s="11"/>
      <c r="D3" s="11"/>
      <c r="E3" s="11">
        <v>113850</v>
      </c>
      <c r="F3" s="11"/>
      <c r="G3" s="11"/>
      <c r="H3" s="11"/>
      <c r="I3" s="12">
        <f>C3</f>
        <v>0</v>
      </c>
    </row>
    <row r="4" spans="1:9" x14ac:dyDescent="0.35">
      <c r="A4" s="10">
        <v>2</v>
      </c>
      <c r="B4" s="2" t="s">
        <v>2</v>
      </c>
      <c r="C4" s="11"/>
      <c r="D4" s="11"/>
      <c r="E4" s="11">
        <v>17419050</v>
      </c>
      <c r="F4" s="11"/>
      <c r="G4" s="11"/>
      <c r="H4" s="11"/>
      <c r="I4" s="12">
        <f t="shared" ref="I4:I15" si="0">C4</f>
        <v>0</v>
      </c>
    </row>
    <row r="5" spans="1:9" x14ac:dyDescent="0.35">
      <c r="A5" s="10">
        <v>3</v>
      </c>
      <c r="B5" s="2" t="s">
        <v>3</v>
      </c>
      <c r="C5" s="11"/>
      <c r="D5" s="11"/>
      <c r="E5" s="11">
        <v>29828700</v>
      </c>
      <c r="F5" s="11"/>
      <c r="G5" s="11"/>
      <c r="H5" s="11"/>
      <c r="I5" s="12">
        <f t="shared" si="0"/>
        <v>0</v>
      </c>
    </row>
    <row r="6" spans="1:9" x14ac:dyDescent="0.35">
      <c r="A6" s="10">
        <v>4</v>
      </c>
      <c r="B6" s="2" t="s">
        <v>4</v>
      </c>
      <c r="C6" s="11"/>
      <c r="D6" s="11"/>
      <c r="E6" s="11">
        <v>6034050</v>
      </c>
      <c r="F6" s="11"/>
      <c r="G6" s="11"/>
      <c r="H6" s="11"/>
      <c r="I6" s="12">
        <f t="shared" si="0"/>
        <v>0</v>
      </c>
    </row>
    <row r="7" spans="1:9" x14ac:dyDescent="0.35">
      <c r="A7" s="10">
        <v>5</v>
      </c>
      <c r="B7" s="2" t="s">
        <v>5</v>
      </c>
      <c r="C7" s="11"/>
      <c r="D7" s="11"/>
      <c r="E7" s="11">
        <v>227700</v>
      </c>
      <c r="F7" s="11"/>
      <c r="G7" s="11"/>
      <c r="H7" s="11"/>
      <c r="I7" s="12">
        <f t="shared" si="0"/>
        <v>0</v>
      </c>
    </row>
    <row r="8" spans="1:9" ht="15.5" x14ac:dyDescent="0.35">
      <c r="A8" s="10">
        <v>6</v>
      </c>
      <c r="B8" s="5" t="s">
        <v>6</v>
      </c>
      <c r="C8" s="8"/>
      <c r="D8" s="8"/>
      <c r="E8" s="8">
        <v>37001250</v>
      </c>
      <c r="F8" s="8"/>
      <c r="G8" s="8"/>
      <c r="H8" s="8"/>
      <c r="I8" s="12">
        <f t="shared" si="0"/>
        <v>0</v>
      </c>
    </row>
    <row r="9" spans="1:9" ht="15.5" x14ac:dyDescent="0.35">
      <c r="A9" s="10">
        <v>7</v>
      </c>
      <c r="B9" s="5" t="s">
        <v>7</v>
      </c>
      <c r="C9" s="8"/>
      <c r="D9" s="8"/>
      <c r="E9" s="8">
        <v>127398150</v>
      </c>
      <c r="F9" s="8"/>
      <c r="G9" s="8"/>
      <c r="H9" s="8"/>
      <c r="I9" s="12">
        <f t="shared" si="0"/>
        <v>0</v>
      </c>
    </row>
    <row r="10" spans="1:9" ht="15.5" x14ac:dyDescent="0.35">
      <c r="A10" s="10">
        <v>8</v>
      </c>
      <c r="B10" s="5" t="s">
        <v>8</v>
      </c>
      <c r="C10" s="9"/>
      <c r="D10" s="9"/>
      <c r="E10" s="9">
        <v>59885100</v>
      </c>
      <c r="F10" s="9"/>
      <c r="G10" s="9"/>
      <c r="H10" s="9"/>
      <c r="I10" s="12">
        <f t="shared" si="0"/>
        <v>0</v>
      </c>
    </row>
    <row r="11" spans="1:9" ht="15.5" x14ac:dyDescent="0.35">
      <c r="A11" s="10">
        <v>9</v>
      </c>
      <c r="B11" s="5" t="s">
        <v>9</v>
      </c>
      <c r="C11" s="9"/>
      <c r="D11" s="9"/>
      <c r="E11" s="9">
        <v>4440150</v>
      </c>
      <c r="F11" s="9"/>
      <c r="G11" s="9"/>
      <c r="H11" s="9"/>
      <c r="I11" s="12">
        <f t="shared" si="0"/>
        <v>0</v>
      </c>
    </row>
    <row r="12" spans="1:9" ht="15.5" x14ac:dyDescent="0.35">
      <c r="A12" s="10">
        <v>10</v>
      </c>
      <c r="B12" s="5" t="s">
        <v>10</v>
      </c>
      <c r="C12" s="9"/>
      <c r="D12" s="9"/>
      <c r="E12" s="9">
        <v>2618550</v>
      </c>
      <c r="F12" s="9"/>
      <c r="G12" s="9"/>
      <c r="H12" s="9"/>
      <c r="I12" s="12">
        <f t="shared" si="0"/>
        <v>0</v>
      </c>
    </row>
    <row r="13" spans="1:9" ht="15.5" x14ac:dyDescent="0.35">
      <c r="A13" s="10">
        <v>11</v>
      </c>
      <c r="B13" s="5" t="s">
        <v>11</v>
      </c>
      <c r="C13" s="9"/>
      <c r="D13" s="9"/>
      <c r="E13" s="9">
        <v>0</v>
      </c>
      <c r="F13" s="9"/>
      <c r="G13" s="9"/>
      <c r="H13" s="9"/>
      <c r="I13" s="12">
        <f t="shared" si="0"/>
        <v>0</v>
      </c>
    </row>
    <row r="14" spans="1:9" ht="15.5" x14ac:dyDescent="0.35">
      <c r="A14" s="10">
        <v>12</v>
      </c>
      <c r="B14" s="5" t="s">
        <v>12</v>
      </c>
      <c r="C14" s="9"/>
      <c r="D14" s="9"/>
      <c r="E14" s="9">
        <v>6489450</v>
      </c>
      <c r="F14" s="9"/>
      <c r="G14" s="9"/>
      <c r="H14" s="9"/>
      <c r="I14" s="12">
        <f t="shared" si="0"/>
        <v>0</v>
      </c>
    </row>
    <row r="15" spans="1:9" ht="15.5" x14ac:dyDescent="0.35">
      <c r="A15" s="10">
        <v>13</v>
      </c>
      <c r="B15" s="5" t="s">
        <v>13</v>
      </c>
      <c r="C15" s="9"/>
      <c r="D15" s="9"/>
      <c r="E15" s="9">
        <v>31536450</v>
      </c>
      <c r="F15" s="9"/>
      <c r="G15" s="9"/>
      <c r="H15" s="9"/>
      <c r="I15" s="12">
        <f t="shared" si="0"/>
        <v>0</v>
      </c>
    </row>
    <row r="16" spans="1:9" ht="15" x14ac:dyDescent="0.35">
      <c r="A16" s="32" t="s">
        <v>14</v>
      </c>
      <c r="B16" s="32"/>
      <c r="C16" s="14">
        <f>SUM(C3:C15)</f>
        <v>0</v>
      </c>
      <c r="D16" s="14"/>
      <c r="E16" s="14">
        <f>SUM(E3:E15)</f>
        <v>322992450</v>
      </c>
      <c r="F16" s="14"/>
      <c r="G16" s="14"/>
      <c r="H16" s="14"/>
      <c r="I16" s="14">
        <f>SUM(I3:I15)</f>
        <v>0</v>
      </c>
    </row>
  </sheetData>
  <mergeCells count="2">
    <mergeCell ref="A16:B16"/>
    <mergeCell ref="A1:I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6"/>
  <sheetViews>
    <sheetView workbookViewId="0">
      <selection activeCell="E25" sqref="E25"/>
    </sheetView>
  </sheetViews>
  <sheetFormatPr defaultRowHeight="14.5" x14ac:dyDescent="0.35"/>
  <cols>
    <col min="2" max="2" width="33.1796875" customWidth="1"/>
    <col min="3" max="8" width="16.1796875" customWidth="1"/>
    <col min="9" max="9" width="14.54296875" customWidth="1"/>
  </cols>
  <sheetData>
    <row r="1" spans="1:9" ht="28.25" customHeight="1" x14ac:dyDescent="0.35">
      <c r="A1" s="31" t="s">
        <v>19</v>
      </c>
      <c r="B1" s="31"/>
      <c r="C1" s="31"/>
      <c r="D1" s="31"/>
      <c r="E1" s="31"/>
      <c r="F1" s="31"/>
      <c r="G1" s="31"/>
      <c r="H1" s="31"/>
      <c r="I1" s="31"/>
    </row>
    <row r="2" spans="1:9" ht="24.65" customHeight="1" x14ac:dyDescent="0.35">
      <c r="A2" s="13" t="s">
        <v>15</v>
      </c>
      <c r="B2" s="3" t="s">
        <v>0</v>
      </c>
      <c r="C2" s="13" t="s">
        <v>24</v>
      </c>
      <c r="D2" s="13" t="s">
        <v>25</v>
      </c>
      <c r="E2" s="13" t="s">
        <v>39</v>
      </c>
      <c r="F2" s="13" t="s">
        <v>40</v>
      </c>
      <c r="G2" s="13" t="s">
        <v>41</v>
      </c>
      <c r="H2" s="13" t="s">
        <v>42</v>
      </c>
      <c r="I2" s="13" t="s">
        <v>14</v>
      </c>
    </row>
    <row r="3" spans="1:9" ht="28" x14ac:dyDescent="0.35">
      <c r="A3" s="10">
        <v>1</v>
      </c>
      <c r="B3" s="1" t="s">
        <v>1</v>
      </c>
      <c r="C3" s="11"/>
      <c r="D3" s="11"/>
      <c r="E3" s="11"/>
      <c r="F3" s="11"/>
      <c r="G3" s="11"/>
      <c r="H3" s="11"/>
      <c r="I3" s="12">
        <f>C3</f>
        <v>0</v>
      </c>
    </row>
    <row r="4" spans="1:9" x14ac:dyDescent="0.35">
      <c r="A4" s="10">
        <v>2</v>
      </c>
      <c r="B4" s="2" t="s">
        <v>2</v>
      </c>
      <c r="C4" s="11"/>
      <c r="D4" s="11"/>
      <c r="E4" s="11"/>
      <c r="F4" s="11"/>
      <c r="G4" s="11"/>
      <c r="H4" s="11"/>
      <c r="I4" s="12">
        <f t="shared" ref="I4:I15" si="0">C4</f>
        <v>0</v>
      </c>
    </row>
    <row r="5" spans="1:9" x14ac:dyDescent="0.35">
      <c r="A5" s="10">
        <v>3</v>
      </c>
      <c r="B5" s="2" t="s">
        <v>3</v>
      </c>
      <c r="C5" s="11"/>
      <c r="D5" s="11"/>
      <c r="E5" s="11"/>
      <c r="F5" s="11"/>
      <c r="G5" s="11"/>
      <c r="H5" s="11"/>
      <c r="I5" s="12">
        <f t="shared" si="0"/>
        <v>0</v>
      </c>
    </row>
    <row r="6" spans="1:9" x14ac:dyDescent="0.35">
      <c r="A6" s="10">
        <v>4</v>
      </c>
      <c r="B6" s="2" t="s">
        <v>4</v>
      </c>
      <c r="C6" s="11"/>
      <c r="D6" s="11"/>
      <c r="E6" s="11"/>
      <c r="F6" s="11"/>
      <c r="G6" s="11"/>
      <c r="H6" s="11"/>
      <c r="I6" s="12">
        <f t="shared" si="0"/>
        <v>0</v>
      </c>
    </row>
    <row r="7" spans="1:9" x14ac:dyDescent="0.35">
      <c r="A7" s="10">
        <v>5</v>
      </c>
      <c r="B7" s="2" t="s">
        <v>5</v>
      </c>
      <c r="C7" s="11"/>
      <c r="D7" s="11"/>
      <c r="E7" s="11"/>
      <c r="F7" s="11"/>
      <c r="G7" s="11"/>
      <c r="H7" s="11"/>
      <c r="I7" s="12">
        <f t="shared" si="0"/>
        <v>0</v>
      </c>
    </row>
    <row r="8" spans="1:9" ht="15.5" x14ac:dyDescent="0.35">
      <c r="A8" s="10">
        <v>6</v>
      </c>
      <c r="B8" s="5" t="s">
        <v>6</v>
      </c>
      <c r="C8" s="8"/>
      <c r="D8" s="8"/>
      <c r="E8" s="8"/>
      <c r="F8" s="8"/>
      <c r="G8" s="8"/>
      <c r="H8" s="8"/>
      <c r="I8" s="12">
        <f t="shared" si="0"/>
        <v>0</v>
      </c>
    </row>
    <row r="9" spans="1:9" ht="15.5" x14ac:dyDescent="0.35">
      <c r="A9" s="10">
        <v>7</v>
      </c>
      <c r="B9" s="5" t="s">
        <v>7</v>
      </c>
      <c r="C9" s="8"/>
      <c r="D9" s="8"/>
      <c r="E9" s="8"/>
      <c r="F9" s="8"/>
      <c r="G9" s="8"/>
      <c r="H9" s="8"/>
      <c r="I9" s="12">
        <f t="shared" si="0"/>
        <v>0</v>
      </c>
    </row>
    <row r="10" spans="1:9" ht="15.5" x14ac:dyDescent="0.35">
      <c r="A10" s="10">
        <v>8</v>
      </c>
      <c r="B10" s="5" t="s">
        <v>8</v>
      </c>
      <c r="C10" s="9"/>
      <c r="D10" s="9"/>
      <c r="E10" s="9"/>
      <c r="F10" s="9"/>
      <c r="G10" s="9"/>
      <c r="H10" s="9"/>
      <c r="I10" s="12">
        <f t="shared" si="0"/>
        <v>0</v>
      </c>
    </row>
    <row r="11" spans="1:9" ht="15.5" x14ac:dyDescent="0.35">
      <c r="A11" s="10">
        <v>9</v>
      </c>
      <c r="B11" s="5" t="s">
        <v>9</v>
      </c>
      <c r="C11" s="9"/>
      <c r="D11" s="9"/>
      <c r="E11" s="9"/>
      <c r="F11" s="9"/>
      <c r="G11" s="9"/>
      <c r="H11" s="9"/>
      <c r="I11" s="12">
        <f t="shared" si="0"/>
        <v>0</v>
      </c>
    </row>
    <row r="12" spans="1:9" ht="15.5" x14ac:dyDescent="0.35">
      <c r="A12" s="10">
        <v>10</v>
      </c>
      <c r="B12" s="5" t="s">
        <v>10</v>
      </c>
      <c r="C12" s="9"/>
      <c r="D12" s="9"/>
      <c r="E12" s="9"/>
      <c r="F12" s="9"/>
      <c r="G12" s="9"/>
      <c r="H12" s="9"/>
      <c r="I12" s="12">
        <f t="shared" si="0"/>
        <v>0</v>
      </c>
    </row>
    <row r="13" spans="1:9" ht="15.5" x14ac:dyDescent="0.35">
      <c r="A13" s="10">
        <v>11</v>
      </c>
      <c r="B13" s="5" t="s">
        <v>11</v>
      </c>
      <c r="C13" s="9"/>
      <c r="D13" s="9"/>
      <c r="E13" s="9"/>
      <c r="F13" s="9"/>
      <c r="G13" s="9"/>
      <c r="H13" s="9"/>
      <c r="I13" s="12">
        <f t="shared" si="0"/>
        <v>0</v>
      </c>
    </row>
    <row r="14" spans="1:9" ht="15.5" x14ac:dyDescent="0.35">
      <c r="A14" s="10">
        <v>12</v>
      </c>
      <c r="B14" s="5" t="s">
        <v>12</v>
      </c>
      <c r="C14" s="9"/>
      <c r="D14" s="9"/>
      <c r="E14" s="9"/>
      <c r="F14" s="9"/>
      <c r="G14" s="9"/>
      <c r="H14" s="9"/>
      <c r="I14" s="12">
        <f t="shared" si="0"/>
        <v>0</v>
      </c>
    </row>
    <row r="15" spans="1:9" ht="15.5" x14ac:dyDescent="0.35">
      <c r="A15" s="10">
        <v>13</v>
      </c>
      <c r="B15" s="5" t="s">
        <v>13</v>
      </c>
      <c r="C15" s="9"/>
      <c r="D15" s="9"/>
      <c r="E15" s="9"/>
      <c r="F15" s="9"/>
      <c r="G15" s="9"/>
      <c r="H15" s="9"/>
      <c r="I15" s="12">
        <f t="shared" si="0"/>
        <v>0</v>
      </c>
    </row>
    <row r="16" spans="1:9" ht="15" x14ac:dyDescent="0.35">
      <c r="A16" s="32" t="s">
        <v>14</v>
      </c>
      <c r="B16" s="32"/>
      <c r="C16" s="14">
        <f>SUM(C3:C15)</f>
        <v>0</v>
      </c>
      <c r="D16" s="14"/>
      <c r="E16" s="14"/>
      <c r="F16" s="14"/>
      <c r="G16" s="14"/>
      <c r="H16" s="14"/>
      <c r="I16" s="14">
        <f>SUM(I3:I15)</f>
        <v>0</v>
      </c>
    </row>
  </sheetData>
  <mergeCells count="2">
    <mergeCell ref="A1:I1"/>
    <mergeCell ref="A16:B1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13"/>
  <sheetViews>
    <sheetView workbookViewId="0">
      <selection activeCell="E13" sqref="E13"/>
    </sheetView>
  </sheetViews>
  <sheetFormatPr defaultRowHeight="14.5" x14ac:dyDescent="0.35"/>
  <cols>
    <col min="2" max="2" width="33.1796875" customWidth="1"/>
    <col min="3" max="8" width="16.1796875" customWidth="1"/>
    <col min="9" max="9" width="16.81640625" customWidth="1"/>
    <col min="12" max="12" width="14.90625" customWidth="1"/>
  </cols>
  <sheetData>
    <row r="1" spans="1:12" ht="25.25" customHeight="1" x14ac:dyDescent="0.35">
      <c r="A1" s="31" t="s">
        <v>20</v>
      </c>
      <c r="B1" s="31"/>
      <c r="C1" s="31"/>
      <c r="D1" s="31"/>
      <c r="E1" s="31"/>
      <c r="F1" s="31"/>
      <c r="G1" s="31"/>
      <c r="H1" s="31"/>
      <c r="I1" s="31"/>
    </row>
    <row r="2" spans="1:12" ht="24.65" customHeight="1" x14ac:dyDescent="0.35">
      <c r="A2" s="13" t="s">
        <v>15</v>
      </c>
      <c r="B2" s="3" t="s">
        <v>0</v>
      </c>
      <c r="C2" s="13" t="s">
        <v>24</v>
      </c>
      <c r="D2" s="13" t="s">
        <v>25</v>
      </c>
      <c r="E2" s="13" t="s">
        <v>39</v>
      </c>
      <c r="F2" s="13" t="s">
        <v>40</v>
      </c>
      <c r="G2" s="13" t="s">
        <v>41</v>
      </c>
      <c r="H2" s="13" t="s">
        <v>42</v>
      </c>
      <c r="I2" s="13" t="s">
        <v>14</v>
      </c>
    </row>
    <row r="3" spans="1:12" ht="28" x14ac:dyDescent="0.35">
      <c r="A3" s="10">
        <v>1</v>
      </c>
      <c r="B3" s="1" t="s">
        <v>1</v>
      </c>
      <c r="C3" s="11"/>
      <c r="D3" s="11"/>
      <c r="E3" s="11">
        <v>0</v>
      </c>
      <c r="F3" s="11"/>
      <c r="G3" s="11"/>
      <c r="H3" s="11"/>
      <c r="I3" s="12">
        <f>C3</f>
        <v>0</v>
      </c>
    </row>
    <row r="4" spans="1:12" x14ac:dyDescent="0.35">
      <c r="A4" s="10">
        <v>2</v>
      </c>
      <c r="B4" s="2" t="s">
        <v>2</v>
      </c>
      <c r="C4" s="11"/>
      <c r="D4" s="11"/>
      <c r="E4" s="11">
        <v>16508250</v>
      </c>
      <c r="F4" s="11"/>
      <c r="G4" s="11"/>
      <c r="H4" s="11"/>
      <c r="I4" s="12">
        <f t="shared" ref="I4:I12" si="0">C4</f>
        <v>0</v>
      </c>
    </row>
    <row r="5" spans="1:12" x14ac:dyDescent="0.35">
      <c r="A5" s="10">
        <v>3</v>
      </c>
      <c r="B5" s="2" t="s">
        <v>3</v>
      </c>
      <c r="C5" s="11"/>
      <c r="D5" s="11"/>
      <c r="E5" s="11">
        <v>19012950</v>
      </c>
      <c r="F5" s="11"/>
      <c r="G5" s="11"/>
      <c r="H5" s="11"/>
      <c r="I5" s="12">
        <f t="shared" si="0"/>
        <v>0</v>
      </c>
    </row>
    <row r="6" spans="1:12" x14ac:dyDescent="0.35">
      <c r="A6" s="10">
        <v>4</v>
      </c>
      <c r="B6" s="2" t="s">
        <v>4</v>
      </c>
      <c r="C6" s="11"/>
      <c r="D6" s="11"/>
      <c r="E6" s="11">
        <v>3643200</v>
      </c>
      <c r="F6" s="11"/>
      <c r="G6" s="11"/>
      <c r="H6" s="11"/>
      <c r="I6" s="12">
        <f t="shared" si="0"/>
        <v>0</v>
      </c>
    </row>
    <row r="7" spans="1:12" x14ac:dyDescent="0.35">
      <c r="A7" s="10">
        <v>5</v>
      </c>
      <c r="B7" s="2" t="s">
        <v>5</v>
      </c>
      <c r="C7" s="18"/>
      <c r="D7" s="18"/>
      <c r="E7" s="18">
        <v>0</v>
      </c>
      <c r="F7" s="18"/>
      <c r="G7" s="18"/>
      <c r="H7" s="18"/>
      <c r="I7" s="12">
        <f t="shared" si="0"/>
        <v>0</v>
      </c>
    </row>
    <row r="8" spans="1:12" ht="15.5" x14ac:dyDescent="0.35">
      <c r="A8" s="10">
        <v>6</v>
      </c>
      <c r="B8" s="5" t="s">
        <v>6</v>
      </c>
      <c r="C8" s="11"/>
      <c r="D8" s="11"/>
      <c r="E8" s="11">
        <v>12637350</v>
      </c>
      <c r="F8" s="11"/>
      <c r="G8" s="11"/>
      <c r="H8" s="11"/>
      <c r="I8" s="12">
        <f t="shared" si="0"/>
        <v>0</v>
      </c>
      <c r="K8" s="21"/>
      <c r="L8" s="18"/>
    </row>
    <row r="9" spans="1:12" ht="15.5" x14ac:dyDescent="0.35">
      <c r="A9" s="10">
        <v>7</v>
      </c>
      <c r="B9" s="5" t="s">
        <v>7</v>
      </c>
      <c r="C9" s="11"/>
      <c r="D9" s="11"/>
      <c r="E9" s="11">
        <v>62731350</v>
      </c>
      <c r="F9" s="11"/>
      <c r="G9" s="11"/>
      <c r="H9" s="11"/>
      <c r="I9" s="12">
        <f t="shared" si="0"/>
        <v>0</v>
      </c>
      <c r="K9" s="21"/>
      <c r="L9" s="18"/>
    </row>
    <row r="10" spans="1:12" ht="16" thickBot="1" x14ac:dyDescent="0.4">
      <c r="A10" s="10">
        <v>8</v>
      </c>
      <c r="B10" s="5" t="s">
        <v>8</v>
      </c>
      <c r="C10" s="11"/>
      <c r="D10" s="11"/>
      <c r="E10" s="11">
        <v>25502400</v>
      </c>
      <c r="F10" s="11"/>
      <c r="G10" s="11"/>
      <c r="H10" s="11"/>
      <c r="I10" s="12">
        <f t="shared" si="0"/>
        <v>0</v>
      </c>
      <c r="K10" s="21"/>
      <c r="L10" s="18"/>
    </row>
    <row r="11" spans="1:12" ht="15" thickBot="1" x14ac:dyDescent="0.4">
      <c r="A11" s="10">
        <v>9</v>
      </c>
      <c r="B11" s="17" t="s">
        <v>23</v>
      </c>
      <c r="C11" s="11"/>
      <c r="D11" s="11"/>
      <c r="E11" s="11">
        <v>5578650</v>
      </c>
      <c r="F11" s="11"/>
      <c r="G11" s="11"/>
      <c r="H11" s="11"/>
      <c r="I11" s="12">
        <f t="shared" si="0"/>
        <v>0</v>
      </c>
      <c r="K11" s="22"/>
      <c r="L11" s="18"/>
    </row>
    <row r="12" spans="1:12" ht="15.5" x14ac:dyDescent="0.35">
      <c r="A12" s="10"/>
      <c r="B12" s="5" t="s">
        <v>13</v>
      </c>
      <c r="C12" s="11"/>
      <c r="D12" s="11"/>
      <c r="E12" s="11">
        <v>6717150</v>
      </c>
      <c r="F12" s="11"/>
      <c r="G12" s="11"/>
      <c r="H12" s="11"/>
      <c r="I12" s="12">
        <f t="shared" si="0"/>
        <v>0</v>
      </c>
      <c r="K12" s="21"/>
      <c r="L12" s="16"/>
    </row>
    <row r="13" spans="1:12" ht="15" x14ac:dyDescent="0.35">
      <c r="A13" s="32" t="s">
        <v>14</v>
      </c>
      <c r="B13" s="32"/>
      <c r="C13" s="14">
        <f>SUM(C4:C12)</f>
        <v>0</v>
      </c>
      <c r="D13" s="14"/>
      <c r="E13" s="14">
        <f>SUM(E3:E12)</f>
        <v>152331300</v>
      </c>
      <c r="F13" s="14"/>
      <c r="G13" s="14"/>
      <c r="H13" s="14"/>
      <c r="I13" s="14">
        <f>SUM(I4:I12)</f>
        <v>0</v>
      </c>
      <c r="K13" s="21"/>
      <c r="L13" s="18"/>
    </row>
  </sheetData>
  <mergeCells count="2">
    <mergeCell ref="A1:I1"/>
    <mergeCell ref="A13:B13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13"/>
  <sheetViews>
    <sheetView workbookViewId="0">
      <selection activeCell="F23" sqref="F23"/>
    </sheetView>
  </sheetViews>
  <sheetFormatPr defaultRowHeight="14.5" x14ac:dyDescent="0.35"/>
  <cols>
    <col min="2" max="2" width="33.1796875" customWidth="1"/>
    <col min="3" max="8" width="16.1796875" customWidth="1"/>
    <col min="9" max="9" width="16.81640625" customWidth="1"/>
    <col min="12" max="12" width="14.90625" customWidth="1"/>
  </cols>
  <sheetData>
    <row r="1" spans="1:12" ht="25.25" customHeight="1" x14ac:dyDescent="0.35">
      <c r="A1" s="31" t="s">
        <v>20</v>
      </c>
      <c r="B1" s="31"/>
      <c r="C1" s="31"/>
      <c r="D1" s="31"/>
      <c r="E1" s="31"/>
      <c r="F1" s="31"/>
      <c r="G1" s="31"/>
      <c r="H1" s="31"/>
      <c r="I1" s="31"/>
    </row>
    <row r="2" spans="1:12" ht="24.65" customHeight="1" x14ac:dyDescent="0.35">
      <c r="A2" s="13" t="s">
        <v>15</v>
      </c>
      <c r="B2" s="3" t="s">
        <v>0</v>
      </c>
      <c r="C2" s="13" t="s">
        <v>24</v>
      </c>
      <c r="D2" s="13" t="s">
        <v>25</v>
      </c>
      <c r="E2" s="13" t="s">
        <v>39</v>
      </c>
      <c r="F2" s="13" t="s">
        <v>40</v>
      </c>
      <c r="G2" s="13" t="s">
        <v>41</v>
      </c>
      <c r="H2" s="13" t="s">
        <v>42</v>
      </c>
      <c r="I2" s="13" t="s">
        <v>14</v>
      </c>
    </row>
    <row r="3" spans="1:12" ht="28" x14ac:dyDescent="0.35">
      <c r="A3" s="10">
        <v>1</v>
      </c>
      <c r="B3" s="1" t="s">
        <v>1</v>
      </c>
      <c r="C3" s="11"/>
      <c r="D3" s="11"/>
      <c r="E3" s="11"/>
      <c r="F3" s="11"/>
      <c r="G3" s="11"/>
      <c r="H3" s="11"/>
      <c r="I3" s="12">
        <f>C3</f>
        <v>0</v>
      </c>
    </row>
    <row r="4" spans="1:12" x14ac:dyDescent="0.35">
      <c r="A4" s="10">
        <v>2</v>
      </c>
      <c r="B4" s="2" t="s">
        <v>2</v>
      </c>
      <c r="C4" s="11"/>
      <c r="D4" s="11"/>
      <c r="E4" s="11"/>
      <c r="F4" s="11"/>
      <c r="G4" s="11"/>
      <c r="H4" s="11"/>
      <c r="I4" s="12">
        <f t="shared" ref="I4:I12" si="0">C4</f>
        <v>0</v>
      </c>
    </row>
    <row r="5" spans="1:12" x14ac:dyDescent="0.35">
      <c r="A5" s="10">
        <v>3</v>
      </c>
      <c r="B5" s="2" t="s">
        <v>3</v>
      </c>
      <c r="C5" s="11"/>
      <c r="D5" s="11"/>
      <c r="E5" s="11"/>
      <c r="F5" s="11"/>
      <c r="G5" s="11"/>
      <c r="H5" s="11"/>
      <c r="I5" s="12">
        <f t="shared" si="0"/>
        <v>0</v>
      </c>
    </row>
    <row r="6" spans="1:12" x14ac:dyDescent="0.35">
      <c r="A6" s="10">
        <v>4</v>
      </c>
      <c r="B6" s="2" t="s">
        <v>4</v>
      </c>
      <c r="C6" s="11"/>
      <c r="D6" s="11"/>
      <c r="E6" s="11"/>
      <c r="F6" s="11"/>
      <c r="G6" s="11"/>
      <c r="H6" s="11"/>
      <c r="I6" s="12">
        <f t="shared" si="0"/>
        <v>0</v>
      </c>
    </row>
    <row r="7" spans="1:12" x14ac:dyDescent="0.35">
      <c r="A7" s="10">
        <v>5</v>
      </c>
      <c r="B7" s="2" t="s">
        <v>5</v>
      </c>
      <c r="C7" s="18"/>
      <c r="D7" s="18"/>
      <c r="E7" s="18"/>
      <c r="F7" s="18"/>
      <c r="G7" s="18"/>
      <c r="H7" s="18"/>
      <c r="I7" s="12">
        <f t="shared" si="0"/>
        <v>0</v>
      </c>
    </row>
    <row r="8" spans="1:12" ht="15.5" x14ac:dyDescent="0.35">
      <c r="A8" s="10">
        <v>6</v>
      </c>
      <c r="B8" s="5" t="s">
        <v>6</v>
      </c>
      <c r="C8" s="11"/>
      <c r="D8" s="11"/>
      <c r="E8" s="11"/>
      <c r="F8" s="11"/>
      <c r="G8" s="11"/>
      <c r="H8" s="11"/>
      <c r="I8" s="12">
        <f t="shared" si="0"/>
        <v>0</v>
      </c>
      <c r="K8" s="21"/>
      <c r="L8" s="18"/>
    </row>
    <row r="9" spans="1:12" ht="15.5" x14ac:dyDescent="0.35">
      <c r="A9" s="10">
        <v>7</v>
      </c>
      <c r="B9" s="5" t="s">
        <v>7</v>
      </c>
      <c r="C9" s="11"/>
      <c r="D9" s="11"/>
      <c r="E9" s="11"/>
      <c r="F9" s="11"/>
      <c r="G9" s="11"/>
      <c r="H9" s="11"/>
      <c r="I9" s="12">
        <f t="shared" si="0"/>
        <v>0</v>
      </c>
      <c r="K9" s="21"/>
      <c r="L9" s="18"/>
    </row>
    <row r="10" spans="1:12" ht="16" thickBot="1" x14ac:dyDescent="0.4">
      <c r="A10" s="10">
        <v>8</v>
      </c>
      <c r="B10" s="5" t="s">
        <v>8</v>
      </c>
      <c r="C10" s="11"/>
      <c r="D10" s="11"/>
      <c r="E10" s="11"/>
      <c r="F10" s="11"/>
      <c r="G10" s="11"/>
      <c r="H10" s="11"/>
      <c r="I10" s="12">
        <f t="shared" si="0"/>
        <v>0</v>
      </c>
      <c r="K10" s="21"/>
      <c r="L10" s="18"/>
    </row>
    <row r="11" spans="1:12" ht="15" thickBot="1" x14ac:dyDescent="0.4">
      <c r="A11" s="10">
        <v>9</v>
      </c>
      <c r="B11" s="17" t="s">
        <v>23</v>
      </c>
      <c r="C11" s="11"/>
      <c r="D11" s="11"/>
      <c r="E11" s="11"/>
      <c r="F11" s="11"/>
      <c r="G11" s="11"/>
      <c r="H11" s="11"/>
      <c r="I11" s="12">
        <f t="shared" si="0"/>
        <v>0</v>
      </c>
      <c r="K11" s="22"/>
      <c r="L11" s="18"/>
    </row>
    <row r="12" spans="1:12" ht="15.5" x14ac:dyDescent="0.35">
      <c r="A12" s="10"/>
      <c r="B12" s="5" t="s">
        <v>13</v>
      </c>
      <c r="C12" s="11"/>
      <c r="D12" s="11"/>
      <c r="E12" s="11"/>
      <c r="F12" s="11"/>
      <c r="G12" s="11"/>
      <c r="H12" s="11"/>
      <c r="I12" s="12">
        <f t="shared" si="0"/>
        <v>0</v>
      </c>
      <c r="K12" s="21"/>
      <c r="L12" s="16"/>
    </row>
    <row r="13" spans="1:12" ht="15" x14ac:dyDescent="0.35">
      <c r="A13" s="32" t="s">
        <v>14</v>
      </c>
      <c r="B13" s="32"/>
      <c r="C13" s="14">
        <f>SUM(C4:C12)</f>
        <v>0</v>
      </c>
      <c r="D13" s="14"/>
      <c r="E13" s="14"/>
      <c r="F13" s="14"/>
      <c r="G13" s="14"/>
      <c r="H13" s="14"/>
      <c r="I13" s="14">
        <f>SUM(I4:I12)</f>
        <v>0</v>
      </c>
      <c r="K13" s="21"/>
      <c r="L13" s="18"/>
    </row>
  </sheetData>
  <mergeCells count="2">
    <mergeCell ref="A1:I1"/>
    <mergeCell ref="A13:B13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13"/>
  <sheetViews>
    <sheetView workbookViewId="0">
      <selection activeCell="E13" sqref="E13"/>
    </sheetView>
  </sheetViews>
  <sheetFormatPr defaultRowHeight="14.5" x14ac:dyDescent="0.35"/>
  <cols>
    <col min="2" max="2" width="33.1796875" customWidth="1"/>
    <col min="3" max="8" width="16.1796875" customWidth="1"/>
    <col min="9" max="9" width="14.54296875" customWidth="1"/>
  </cols>
  <sheetData>
    <row r="1" spans="1:9" ht="25.25" customHeight="1" x14ac:dyDescent="0.35">
      <c r="A1" s="31" t="s">
        <v>21</v>
      </c>
      <c r="B1" s="31"/>
      <c r="C1" s="31"/>
      <c r="D1" s="31"/>
      <c r="E1" s="31"/>
      <c r="F1" s="31"/>
      <c r="G1" s="31"/>
      <c r="H1" s="31"/>
      <c r="I1" s="31"/>
    </row>
    <row r="2" spans="1:9" ht="24.65" customHeight="1" x14ac:dyDescent="0.35">
      <c r="A2" s="13" t="s">
        <v>15</v>
      </c>
      <c r="B2" s="3" t="s">
        <v>0</v>
      </c>
      <c r="C2" s="13" t="s">
        <v>24</v>
      </c>
      <c r="D2" s="13" t="s">
        <v>25</v>
      </c>
      <c r="E2" s="13" t="s">
        <v>39</v>
      </c>
      <c r="F2" s="13" t="s">
        <v>40</v>
      </c>
      <c r="G2" s="13" t="s">
        <v>41</v>
      </c>
      <c r="H2" s="13" t="s">
        <v>42</v>
      </c>
      <c r="I2" s="13" t="s">
        <v>14</v>
      </c>
    </row>
    <row r="3" spans="1:9" ht="28" x14ac:dyDescent="0.35">
      <c r="A3" s="10">
        <v>1</v>
      </c>
      <c r="B3" s="1" t="s">
        <v>1</v>
      </c>
      <c r="C3" s="11"/>
      <c r="D3" s="11">
        <v>0</v>
      </c>
      <c r="E3" s="11">
        <v>0</v>
      </c>
      <c r="F3" s="11"/>
      <c r="G3" s="11"/>
      <c r="H3" s="11"/>
      <c r="I3" s="12">
        <f>C3+D3+E3+F3+G3+H3</f>
        <v>0</v>
      </c>
    </row>
    <row r="4" spans="1:9" x14ac:dyDescent="0.35">
      <c r="A4" s="10">
        <v>2</v>
      </c>
      <c r="B4" s="2" t="s">
        <v>2</v>
      </c>
      <c r="C4" s="11"/>
      <c r="D4" s="11">
        <v>11612700</v>
      </c>
      <c r="E4" s="11">
        <v>11612700</v>
      </c>
      <c r="F4" s="11"/>
      <c r="G4" s="11"/>
      <c r="H4" s="11"/>
      <c r="I4" s="12">
        <f t="shared" ref="I4:I13" si="0">C4+D4+E4+F4+G4+H4</f>
        <v>23225400</v>
      </c>
    </row>
    <row r="5" spans="1:9" x14ac:dyDescent="0.35">
      <c r="A5" s="10">
        <v>3</v>
      </c>
      <c r="B5" s="2" t="s">
        <v>3</v>
      </c>
      <c r="C5" s="11"/>
      <c r="D5" s="11">
        <v>16166700</v>
      </c>
      <c r="E5" s="11">
        <v>16052850</v>
      </c>
      <c r="F5" s="11"/>
      <c r="G5" s="11"/>
      <c r="H5" s="11"/>
      <c r="I5" s="12">
        <f t="shared" si="0"/>
        <v>32219550</v>
      </c>
    </row>
    <row r="6" spans="1:9" x14ac:dyDescent="0.35">
      <c r="A6" s="10">
        <v>4</v>
      </c>
      <c r="B6" s="2" t="s">
        <v>4</v>
      </c>
      <c r="C6" s="11"/>
      <c r="D6" s="11">
        <v>683100</v>
      </c>
      <c r="E6" s="11">
        <v>683100</v>
      </c>
      <c r="F6" s="11"/>
      <c r="G6" s="11"/>
      <c r="H6" s="11"/>
      <c r="I6" s="12">
        <f t="shared" si="0"/>
        <v>1366200</v>
      </c>
    </row>
    <row r="7" spans="1:9" x14ac:dyDescent="0.35">
      <c r="A7" s="10">
        <v>5</v>
      </c>
      <c r="B7" s="2" t="s">
        <v>5</v>
      </c>
      <c r="C7" s="11"/>
      <c r="D7" s="11">
        <v>227700</v>
      </c>
      <c r="E7" s="11">
        <v>227700</v>
      </c>
      <c r="F7" s="11"/>
      <c r="G7" s="11"/>
      <c r="H7" s="11"/>
      <c r="I7" s="12">
        <f t="shared" si="0"/>
        <v>455400</v>
      </c>
    </row>
    <row r="8" spans="1:9" ht="15.5" x14ac:dyDescent="0.35">
      <c r="A8" s="10">
        <v>6</v>
      </c>
      <c r="B8" s="5" t="s">
        <v>6</v>
      </c>
      <c r="C8" s="11"/>
      <c r="D8" s="11">
        <v>35976600</v>
      </c>
      <c r="E8" s="11">
        <v>35976600</v>
      </c>
      <c r="F8" s="11"/>
      <c r="G8" s="11"/>
      <c r="H8" s="11"/>
      <c r="I8" s="12">
        <f t="shared" si="0"/>
        <v>71953200</v>
      </c>
    </row>
    <row r="9" spans="1:9" ht="15.5" x14ac:dyDescent="0.35">
      <c r="A9" s="10">
        <v>7</v>
      </c>
      <c r="B9" s="5" t="s">
        <v>7</v>
      </c>
      <c r="C9" s="11"/>
      <c r="D9" s="11">
        <v>71822700</v>
      </c>
      <c r="E9" s="11">
        <v>75482550</v>
      </c>
      <c r="F9" s="11"/>
      <c r="G9" s="11"/>
      <c r="H9" s="11"/>
      <c r="I9" s="12">
        <f t="shared" si="0"/>
        <v>147305250</v>
      </c>
    </row>
    <row r="10" spans="1:9" ht="15.5" x14ac:dyDescent="0.35">
      <c r="A10" s="10">
        <v>8</v>
      </c>
      <c r="B10" s="5" t="s">
        <v>8</v>
      </c>
      <c r="C10" s="11"/>
      <c r="D10" s="11">
        <v>29487150</v>
      </c>
      <c r="E10" s="11">
        <v>29487150</v>
      </c>
      <c r="F10" s="11"/>
      <c r="G10" s="11"/>
      <c r="H10" s="11"/>
      <c r="I10" s="12">
        <f t="shared" si="0"/>
        <v>58974300</v>
      </c>
    </row>
    <row r="11" spans="1:9" x14ac:dyDescent="0.35">
      <c r="A11" s="10">
        <v>9</v>
      </c>
      <c r="B11" s="17" t="s">
        <v>23</v>
      </c>
      <c r="C11" s="11"/>
      <c r="D11" s="11">
        <v>2618550</v>
      </c>
      <c r="E11" s="11">
        <v>2618550</v>
      </c>
      <c r="F11" s="11"/>
      <c r="G11" s="11"/>
      <c r="H11" s="11"/>
      <c r="I11" s="12">
        <f t="shared" si="0"/>
        <v>5237100</v>
      </c>
    </row>
    <row r="12" spans="1:9" ht="15.5" x14ac:dyDescent="0.35">
      <c r="A12" s="10">
        <v>10</v>
      </c>
      <c r="B12" s="5" t="s">
        <v>13</v>
      </c>
      <c r="C12" s="11"/>
      <c r="D12" s="11">
        <v>4781700</v>
      </c>
      <c r="E12" s="11">
        <v>4781700</v>
      </c>
      <c r="F12" s="11"/>
      <c r="G12" s="11"/>
      <c r="H12" s="11"/>
      <c r="I12" s="12">
        <f t="shared" si="0"/>
        <v>9563400</v>
      </c>
    </row>
    <row r="13" spans="1:9" ht="15" x14ac:dyDescent="0.35">
      <c r="A13" s="32" t="s">
        <v>14</v>
      </c>
      <c r="B13" s="32"/>
      <c r="C13" s="14">
        <f>SUM(C3:C12)</f>
        <v>0</v>
      </c>
      <c r="D13" s="14">
        <f>SUM(D3:D12)</f>
        <v>173376900</v>
      </c>
      <c r="E13" s="14">
        <f>SUM(E3:E12)</f>
        <v>176922900</v>
      </c>
      <c r="F13" s="14"/>
      <c r="G13" s="14"/>
      <c r="H13" s="14"/>
      <c r="I13" s="12">
        <f t="shared" si="0"/>
        <v>350299800</v>
      </c>
    </row>
  </sheetData>
  <mergeCells count="2">
    <mergeCell ref="A1:I1"/>
    <mergeCell ref="A13:B13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10"/>
  <sheetViews>
    <sheetView tabSelected="1" workbookViewId="0">
      <selection activeCell="H16" sqref="H16"/>
    </sheetView>
  </sheetViews>
  <sheetFormatPr defaultRowHeight="14.5" x14ac:dyDescent="0.35"/>
  <cols>
    <col min="1" max="1" width="4.1796875" bestFit="1" customWidth="1"/>
    <col min="2" max="2" width="16.54296875" bestFit="1" customWidth="1"/>
    <col min="3" max="3" width="11.453125" bestFit="1" customWidth="1"/>
    <col min="4" max="4" width="15.1796875" customWidth="1"/>
    <col min="5" max="5" width="16.453125" customWidth="1"/>
    <col min="6" max="6" width="14" customWidth="1"/>
    <col min="7" max="7" width="13.453125" customWidth="1"/>
    <col min="8" max="8" width="14.08984375" customWidth="1"/>
    <col min="9" max="9" width="13.54296875" customWidth="1"/>
  </cols>
  <sheetData>
    <row r="1" spans="1:9" ht="40.75" customHeight="1" x14ac:dyDescent="0.35">
      <c r="A1" s="31" t="s">
        <v>43</v>
      </c>
      <c r="B1" s="31"/>
      <c r="C1" s="31"/>
      <c r="D1" s="31"/>
      <c r="E1" s="31"/>
      <c r="F1" s="31"/>
      <c r="G1" s="31"/>
      <c r="H1" s="31"/>
      <c r="I1" s="31"/>
    </row>
    <row r="2" spans="1:9" x14ac:dyDescent="0.35">
      <c r="A2" s="23" t="s">
        <v>15</v>
      </c>
      <c r="B2" s="23" t="s">
        <v>44</v>
      </c>
      <c r="C2" s="23" t="s">
        <v>26</v>
      </c>
      <c r="D2" s="23" t="s">
        <v>27</v>
      </c>
      <c r="E2" s="23" t="s">
        <v>28</v>
      </c>
      <c r="F2" s="23" t="s">
        <v>29</v>
      </c>
      <c r="G2" s="23" t="s">
        <v>30</v>
      </c>
      <c r="H2" s="23" t="s">
        <v>31</v>
      </c>
      <c r="I2" s="13" t="s">
        <v>14</v>
      </c>
    </row>
    <row r="3" spans="1:9" x14ac:dyDescent="0.35">
      <c r="A3" s="24">
        <v>1</v>
      </c>
      <c r="B3" s="25" t="s">
        <v>32</v>
      </c>
      <c r="C3" s="26">
        <v>0</v>
      </c>
      <c r="D3" s="26"/>
      <c r="E3" s="26"/>
      <c r="F3" s="26"/>
      <c r="G3" s="26"/>
      <c r="H3" s="26"/>
      <c r="I3" s="27">
        <f>C3+D3+E3+F3+G3+H3</f>
        <v>0</v>
      </c>
    </row>
    <row r="4" spans="1:9" x14ac:dyDescent="0.35">
      <c r="A4" s="24">
        <v>2</v>
      </c>
      <c r="B4" s="25" t="s">
        <v>33</v>
      </c>
      <c r="C4" s="26">
        <v>0</v>
      </c>
      <c r="D4" s="26"/>
      <c r="E4" s="26"/>
      <c r="F4" s="26"/>
      <c r="G4" s="26"/>
      <c r="H4" s="26"/>
      <c r="I4" s="27">
        <f t="shared" ref="I4:I9" si="0">C4+D4+E4+F4+G4+H4</f>
        <v>0</v>
      </c>
    </row>
    <row r="5" spans="1:9" x14ac:dyDescent="0.35">
      <c r="A5" s="24">
        <v>3</v>
      </c>
      <c r="B5" s="25" t="s">
        <v>34</v>
      </c>
      <c r="C5" s="26">
        <v>0</v>
      </c>
      <c r="D5" s="26"/>
      <c r="E5" s="26">
        <v>322992450</v>
      </c>
      <c r="F5" s="26"/>
      <c r="G5" s="26"/>
      <c r="H5" s="26"/>
      <c r="I5" s="27">
        <f t="shared" si="0"/>
        <v>322992450</v>
      </c>
    </row>
    <row r="6" spans="1:9" x14ac:dyDescent="0.35">
      <c r="A6" s="24">
        <v>4</v>
      </c>
      <c r="B6" s="25" t="s">
        <v>35</v>
      </c>
      <c r="C6" s="26">
        <v>0</v>
      </c>
      <c r="D6" s="26"/>
      <c r="E6" s="26"/>
      <c r="F6" s="26"/>
      <c r="G6" s="26"/>
      <c r="H6" s="26"/>
      <c r="I6" s="27">
        <f t="shared" si="0"/>
        <v>0</v>
      </c>
    </row>
    <row r="7" spans="1:9" x14ac:dyDescent="0.35">
      <c r="A7" s="28">
        <v>5</v>
      </c>
      <c r="B7" s="28" t="s">
        <v>36</v>
      </c>
      <c r="C7" s="29">
        <v>0</v>
      </c>
      <c r="D7" s="29"/>
      <c r="E7" s="29">
        <v>152331300</v>
      </c>
      <c r="F7" s="29"/>
      <c r="G7" s="29"/>
      <c r="H7" s="29"/>
      <c r="I7" s="27">
        <f t="shared" si="0"/>
        <v>152331300</v>
      </c>
    </row>
    <row r="8" spans="1:9" x14ac:dyDescent="0.35">
      <c r="A8" s="28">
        <v>6</v>
      </c>
      <c r="B8" s="28" t="s">
        <v>37</v>
      </c>
      <c r="C8" s="29">
        <v>0</v>
      </c>
      <c r="D8" s="14">
        <v>173376900</v>
      </c>
      <c r="E8" s="29">
        <v>176922900</v>
      </c>
      <c r="F8" s="29"/>
      <c r="G8" s="29"/>
      <c r="H8" s="29"/>
      <c r="I8" s="27">
        <f t="shared" si="0"/>
        <v>350299800</v>
      </c>
    </row>
    <row r="9" spans="1:9" x14ac:dyDescent="0.35">
      <c r="A9" s="28">
        <v>7</v>
      </c>
      <c r="B9" s="28" t="s">
        <v>38</v>
      </c>
      <c r="C9" s="29">
        <v>0</v>
      </c>
      <c r="D9" s="29"/>
      <c r="E9" s="29"/>
      <c r="F9" s="29"/>
      <c r="G9" s="29"/>
      <c r="H9" s="29"/>
      <c r="I9" s="27">
        <f t="shared" si="0"/>
        <v>0</v>
      </c>
    </row>
    <row r="10" spans="1:9" x14ac:dyDescent="0.35">
      <c r="A10" s="34"/>
      <c r="B10" s="35"/>
      <c r="C10" s="30">
        <f>SUM(C3:C9)</f>
        <v>0</v>
      </c>
      <c r="D10" s="30">
        <f t="shared" ref="D10:H10" si="1">SUM(D3:D9)</f>
        <v>173376900</v>
      </c>
      <c r="E10" s="30">
        <f t="shared" si="1"/>
        <v>652246650</v>
      </c>
      <c r="F10" s="30">
        <f t="shared" si="1"/>
        <v>0</v>
      </c>
      <c r="G10" s="30">
        <f t="shared" si="1"/>
        <v>0</v>
      </c>
      <c r="H10" s="30">
        <f t="shared" si="1"/>
        <v>0</v>
      </c>
      <c r="I10" s="27">
        <f>SUM(I3:I9)</f>
        <v>825623550</v>
      </c>
    </row>
  </sheetData>
  <mergeCells count="2">
    <mergeCell ref="A10:B10"/>
    <mergeCell ref="A1:I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XÃ CÁI NƯỚC</vt:lpstr>
      <vt:lpstr>XÃ HƯNG MỸ</vt:lpstr>
      <vt:lpstr>XÃ TÂN HƯNG</vt:lpstr>
      <vt:lpstr>XÃ LƯƠNG THẾ TRÂN</vt:lpstr>
      <vt:lpstr>XÃ CÁI ĐÔI VÀM</vt:lpstr>
      <vt:lpstr>XÃ NGUYỄN VIỆT KHÁI</vt:lpstr>
      <vt:lpstr>XÃ PHÚ TÂN</vt:lpstr>
      <vt:lpstr>TỔNG HỢP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Khanh Duy  To</dc:creator>
  <cp:lastModifiedBy>Khanh Duy</cp:lastModifiedBy>
  <dcterms:created xsi:type="dcterms:W3CDTF">2025-10-24T03:56:44Z</dcterms:created>
  <dcterms:modified xsi:type="dcterms:W3CDTF">2026-10-05T02:34:55Z</dcterms:modified>
</cp:coreProperties>
</file>